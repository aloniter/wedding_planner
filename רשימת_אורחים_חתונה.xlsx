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loniter/wedding_planner/"/>
    </mc:Choice>
  </mc:AlternateContent>
  <xr:revisionPtr revIDLastSave="0" documentId="13_ncr:1_{42184BFA-5AE5-E944-9623-0FCD9D74B1AB}" xr6:coauthVersionLast="47" xr6:coauthVersionMax="47" xr10:uidLastSave="{00000000-0000-0000-0000-000000000000}"/>
  <bookViews>
    <workbookView xWindow="0" yWindow="660" windowWidth="29840" windowHeight="17280" tabRatio="500" xr2:uid="{00000000-000D-0000-FFFF-FFFF00000000}"/>
  </bookViews>
  <sheets>
    <sheet name="רשימת אורחים" sheetId="1" r:id="rId1"/>
    <sheet name="סיכום" sheetId="2" r:id="rId2"/>
    <sheet name="B-List" sheetId="3" r:id="rId3"/>
    <sheet name="הגדרות" sheetId="4" state="hidden" r:id="rId4"/>
  </sheets>
  <definedNames>
    <definedName name="_xlnm._FilterDatabase" localSheetId="2" hidden="1">'B-List'!$A$2:$K$10</definedName>
    <definedName name="_xlnm._FilterDatabase" localSheetId="0" hidden="1">'רשימת אורחים'!$A$2:$R$10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C5" i="2"/>
  <c r="C13" i="2"/>
  <c r="C12" i="2"/>
  <c r="C11" i="2"/>
  <c r="C10" i="2"/>
  <c r="C9" i="2"/>
  <c r="C14" i="2"/>
  <c r="C8" i="2"/>
  <c r="C7" i="2"/>
  <c r="C6" i="2"/>
  <c r="C4" i="2"/>
  <c r="C3" i="2"/>
</calcChain>
</file>

<file path=xl/sharedStrings.xml><?xml version="1.0" encoding="utf-8"?>
<sst xmlns="http://schemas.openxmlformats.org/spreadsheetml/2006/main" count="96" uniqueCount="66">
  <si>
    <t>מס'</t>
  </si>
  <si>
    <t>שם פרטי</t>
  </si>
  <si>
    <t>שם משפחה</t>
  </si>
  <si>
    <t>צד</t>
  </si>
  <si>
    <t>קשר</t>
  </si>
  <si>
    <t>כתובת מייל</t>
  </si>
  <si>
    <t>טלפון</t>
  </si>
  <si>
    <t># מוזמנים</t>
  </si>
  <si>
    <t># מגיעים</t>
  </si>
  <si>
    <t>סטטוס RSVP</t>
  </si>
  <si>
    <t>שמר תאריך</t>
  </si>
  <si>
    <t>הזמנה נשלחה</t>
  </si>
  <si>
    <t>בחירת מנה</t>
  </si>
  <si>
    <t>הגבלות תזונה</t>
  </si>
  <si>
    <t>שולחן</t>
  </si>
  <si>
    <t>מתנה</t>
  </si>
  <si>
    <t>תודה נשלחה</t>
  </si>
  <si>
    <t>הערות</t>
  </si>
  <si>
    <t>משפחה</t>
  </si>
  <si>
    <t>חברים</t>
  </si>
  <si>
    <t>עבודה</t>
  </si>
  <si>
    <t>📊  סיכום רשימת אורחים</t>
  </si>
  <si>
    <t>קטגוריה</t>
  </si>
  <si>
    <t>פרט</t>
  </si>
  <si>
    <t>מספר</t>
  </si>
  <si>
    <t>סה"כ מוזמנים</t>
  </si>
  <si>
    <t>RSVP</t>
  </si>
  <si>
    <t>אישרו הגעה</t>
  </si>
  <si>
    <t>ממתינים</t>
  </si>
  <si>
    <t>אולי</t>
  </si>
  <si>
    <t>מגיעים</t>
  </si>
  <si>
    <t>סה"כ מגיעים</t>
  </si>
  <si>
    <t>הזמנות</t>
  </si>
  <si>
    <t>טרם נשלחה</t>
  </si>
  <si>
    <t>תודה</t>
  </si>
  <si>
    <t>תודה לא נשלחה</t>
  </si>
  <si>
    <t>עדיפות</t>
  </si>
  <si>
    <t>סיבת המתנה</t>
  </si>
  <si>
    <t>סטטוס</t>
  </si>
  <si>
    <t>💍  רשימת אורחים  💍</t>
  </si>
  <si>
    <t>📋  רשימת המתנה (B-List)  📋</t>
  </si>
  <si>
    <t>חתן</t>
  </si>
  <si>
    <t>חברים חתן</t>
  </si>
  <si>
    <t>ממתין</t>
  </si>
  <si>
    <t>כלה</t>
  </si>
  <si>
    <t>משפחה כלה</t>
  </si>
  <si>
    <t>חברים כלה</t>
  </si>
  <si>
    <t>משפחה חתן</t>
  </si>
  <si>
    <t>צבא</t>
  </si>
  <si>
    <t>משותף</t>
  </si>
  <si>
    <t>שכנים</t>
  </si>
  <si>
    <t>אחר</t>
  </si>
  <si>
    <t>נמוכה</t>
  </si>
  <si>
    <t>בינונית</t>
  </si>
  <si>
    <t>גבוהה</t>
  </si>
  <si>
    <t>מצד חתן</t>
  </si>
  <si>
    <t>מצד כלה</t>
  </si>
  <si>
    <t>ביטלו</t>
  </si>
  <si>
    <t>אישר</t>
  </si>
  <si>
    <t>ביטל</t>
  </si>
  <si>
    <t>הועבר לרשימה ראשית</t>
  </si>
  <si>
    <t>לא הוזמן</t>
  </si>
  <si>
    <t>כן/לא</t>
  </si>
  <si>
    <t>סטטוס B-List</t>
  </si>
  <si>
    <t>כן</t>
  </si>
  <si>
    <t>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</si>
</sst>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B6914"/>
        <bgColor rgb="FF808080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5F5F5"/>
      </patternFill>
    </fill>
    <fill>
      <patternFill patternType="solid">
        <fgColor rgb="FFF5F5F5"/>
        <bgColor rgb="FFFFF8E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2" xfId="0" applyFont="1" applyFill="1" applyBorder="1" applyAlignment="1">
      <alignment horizontal="center" vertical="center" readingOrder="2"/>
    </xf>
    <xf numFmtId="0" fontId="3" fillId="5" borderId="3" xfId="0" applyFont="1" applyFill="1" applyBorder="1" applyAlignment="1">
      <alignment horizontal="center" vertical="center" readingOrder="2"/>
    </xf>
    <xf numFmtId="0" fontId="6" fillId="0" borderId="0" xfId="0" applyFont="1"/>
  </cellXfs>
  <cellStyles count="1">
    <cellStyle name="Normal" xfId="0" builtinId="0"/>
  </cellStyles>
  <dxfs count="6">
    <dxf>
      <fill>
        <patternFill>
          <bgColor rgb="FFD4E8FA"/>
        </patternFill>
      </fill>
    </dxf>
    <dxf>
      <fill>
        <patternFill>
          <bgColor rgb="FFFFF3CD"/>
        </patternFill>
      </fill>
    </dxf>
    <dxf>
      <fill>
        <patternFill>
          <bgColor rgb="FFFAD4D4"/>
        </patternFill>
      </fill>
    </dxf>
    <dxf>
      <fill>
        <patternFill>
          <bgColor rgb="FFD6F0D6"/>
        </patternFill>
      </fill>
    </dxf>
    <dxf>
      <fill>
        <patternFill>
          <bgColor rgb="FFFAE0E4"/>
        </patternFill>
      </fill>
    </dxf>
    <dxf>
      <fill>
        <patternFill>
          <bgColor rgb="FFE0EEF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FF3CD"/>
      <rgbColor rgb="FFE0EEF8"/>
      <rgbColor rgb="FF660066"/>
      <rgbColor rgb="FFFF8080"/>
      <rgbColor rgb="FF0066CC"/>
      <rgbColor rgb="FFFAE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8FA"/>
      <rgbColor rgb="FFD6F0D6"/>
      <rgbColor rgb="FFFFF8E7"/>
      <rgbColor rgb="FFF5F5F5"/>
      <rgbColor rgb="FFFF99CC"/>
      <rgbColor rgb="FFCC99FF"/>
      <rgbColor rgb="FFFAD4D4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FF401D-5BEE-C848-910C-F8A936B15CB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rightToLeft="1" tabSelected="1" topLeftCell="L1" zoomScale="168" zoomScaleNormal="100" workbookViewId="0">
      <pane ySplit="2" topLeftCell="A3" activePane="bottomLeft" state="frozen"/>
      <selection pane="bottomLeft" activeCell="R2" sqref="R2"/>
    </sheetView>
  </sheetViews>
  <sheetFormatPr baseColWidth="10" defaultColWidth="8.6640625" defaultRowHeight="15" customHeight="1" x14ac:dyDescent="0.2"/>
  <cols>
    <col min="1" max="1" width="5" customWidth="1"/>
    <col min="2" max="2" width="15" customWidth="1"/>
    <col min="3" max="3" width="16" customWidth="1"/>
    <col min="4" max="4" width="12" customWidth="1"/>
    <col min="5" max="5" width="16" customWidth="1"/>
    <col min="6" max="6" width="24" customWidth="1"/>
    <col min="7" max="7" width="14" customWidth="1"/>
    <col min="8" max="9" width="12" customWidth="1"/>
    <col min="10" max="12" width="14" customWidth="1"/>
    <col min="13" max="13" width="16" customWidth="1"/>
    <col min="14" max="14" width="18" customWidth="1"/>
    <col min="15" max="15" width="10" customWidth="1"/>
    <col min="16" max="16" width="14" customWidth="1"/>
    <col min="17" max="17" width="13" customWidth="1"/>
    <col min="18" max="18" width="24" customWidth="1"/>
  </cols>
  <sheetData>
    <row r="1" spans="1:18" ht="36" customHeight="1" x14ac:dyDescent="0.2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7.75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</row>
    <row r="99" spans="1:18" ht="1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</sheetData>
  <mergeCells count="1">
    <mergeCell ref="A1:R1"/>
  </mergeCells>
  <conditionalFormatting sqref="D99:D103">
    <cfRule type="expression" dxfId="5" priority="6">
      <formula>D99="אלון"</formula>
    </cfRule>
    <cfRule type="expression" dxfId="4" priority="7">
      <formula>D99="נעמי"</formula>
    </cfRule>
  </conditionalFormatting>
  <conditionalFormatting sqref="J99:J103">
    <cfRule type="expression" dxfId="3" priority="2">
      <formula>J99="אישר"</formula>
    </cfRule>
    <cfRule type="expression" dxfId="2" priority="3">
      <formula>J99="סירב"</formula>
    </cfRule>
    <cfRule type="expression" dxfId="1" priority="4">
      <formula>J99="ממתין"</formula>
    </cfRule>
    <cfRule type="expression" dxfId="0" priority="5">
      <formula>J99="אולי"</formula>
    </cfRule>
  </conditionalFormatting>
  <dataValidations count="1">
    <dataValidation type="list" allowBlank="1" sqref="M99:M103" xr:uid="{00000000-0002-0000-0000-000005000000}">
      <formula1>"בשרי,צמחוני,טבעוני,ללא גלוטן,אין העדפה"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6800FB-DF13-694C-A68F-DB378A803D3C}">
          <x14:formula1>
            <xm:f>הגדרות!$A$2:$A$4</xm:f>
          </x14:formula1>
          <xm:sqref>D3:D502</xm:sqref>
        </x14:dataValidation>
        <x14:dataValidation type="list" allowBlank="1" showInputMessage="1" showErrorMessage="1" xr:uid="{6C2AE13F-2563-ED4D-9B9B-2EBDC9143EBF}">
          <x14:formula1>
            <xm:f>הגדרות!$B$2:$B$9</xm:f>
          </x14:formula1>
          <xm:sqref>E3:E502</xm:sqref>
        </x14:dataValidation>
        <x14:dataValidation type="list" allowBlank="1" showInputMessage="1" showErrorMessage="1" xr:uid="{7F305590-554A-E444-B44E-DFA188E08A06}">
          <x14:formula1>
            <xm:f>הגדרות!$C$2:$C$5</xm:f>
          </x14:formula1>
          <xm:sqref>J3:J502</xm:sqref>
        </x14:dataValidation>
        <x14:dataValidation type="list" allowBlank="1" showInputMessage="1" showErrorMessage="1" xr:uid="{13CC6E72-C76A-7941-8376-3BCC74A58FEC}">
          <x14:formula1>
            <xm:f>הגדרות!$D$2:$D$3</xm:f>
          </x14:formula1>
          <xm:sqref>K3:K502 L3:L502 Q3:Q502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rightToLeft="1" zoomScaleNormal="100" workbookViewId="0">
      <selection sqref="A1:F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14" customWidth="1"/>
  </cols>
  <sheetData>
    <row r="1" spans="1:6" ht="31.5" customHeight="1" x14ac:dyDescent="0.2">
      <c r="A1" s="7" t="s">
        <v>21</v>
      </c>
      <c r="B1" s="6"/>
      <c r="C1" s="6"/>
      <c r="D1" s="6"/>
      <c r="E1" s="6"/>
      <c r="F1" s="6"/>
    </row>
    <row r="2" spans="1:6" ht="15" customHeight="1" x14ac:dyDescent="0.2">
      <c r="A2" s="3" t="s">
        <v>22</v>
      </c>
      <c r="B2" s="3" t="s">
        <v>23</v>
      </c>
      <c r="C2" s="3" t="s">
        <v>24</v>
      </c>
    </row>
    <row r="3" spans="1:6" ht="15" customHeight="1" x14ac:dyDescent="0.2">
      <c r="A3" s="2" t="s">
        <v>25</v>
      </c>
      <c r="B3" s="2" t="s">
        <v>7</v>
      </c>
      <c r="C3" s="2">
        <f>SUMIF('רשימת אורחים'!H3:H103,"&lt;&gt;",'רשימת אורחים'!H3:H103)</f>
        <v>0</v>
      </c>
    </row>
    <row r="4" spans="1:6" ht="15" customHeight="1" x14ac:dyDescent="0.2">
      <c r="A4" s="4" t="s">
        <v>26</v>
      </c>
      <c r="B4" s="4" t="s">
        <v>27</v>
      </c>
      <c r="C4" s="4">
        <f>COUNTIF('רשימת אורחים'!J3:J103,"אישר")</f>
        <v>0</v>
      </c>
    </row>
    <row r="5" spans="1:6" ht="15" customHeight="1" x14ac:dyDescent="0.2">
      <c r="A5" s="4" t="s">
        <v>26</v>
      </c>
      <c r="B5" s="4" t="s">
        <v>57</v>
      </c>
      <c r="C5" s="4">
        <f>COUNTIF('רשימת אורחים'!J3:J103,"ביטל")</f>
        <v>0</v>
      </c>
    </row>
    <row r="6" spans="1:6" ht="15" customHeight="1" x14ac:dyDescent="0.2">
      <c r="A6" s="4" t="s">
        <v>26</v>
      </c>
      <c r="B6" s="4" t="s">
        <v>28</v>
      </c>
      <c r="C6" s="4">
        <f>COUNTIF('רשימת אורחים'!J3:J103,"ממתין")</f>
        <v>0</v>
      </c>
    </row>
    <row r="7" spans="1:6" ht="15" customHeight="1" x14ac:dyDescent="0.2">
      <c r="A7" s="4" t="s">
        <v>26</v>
      </c>
      <c r="B7" s="4" t="s">
        <v>29</v>
      </c>
      <c r="C7" s="4">
        <f>COUNTIF('רשימת אורחים'!J3:J103,"אולי")</f>
        <v>0</v>
      </c>
    </row>
    <row r="8" spans="1:6" ht="15" customHeight="1" x14ac:dyDescent="0.2">
      <c r="A8" s="2" t="s">
        <v>30</v>
      </c>
      <c r="B8" s="2" t="s">
        <v>31</v>
      </c>
      <c r="C8" s="2">
        <f>SUMIF('רשימת אורחים'!I3:I103,"&lt;&gt;",'רשימת אורחים'!I3:I103)</f>
        <v>0</v>
      </c>
    </row>
    <row r="9" spans="1:6" ht="15" customHeight="1" x14ac:dyDescent="0.2">
      <c r="A9" s="4" t="s">
        <v>3</v>
      </c>
      <c r="B9" s="4" t="s">
        <v>55</v>
      </c>
      <c r="C9" s="4">
        <f>COUNTIF('רשימת אורחים'!D3:D103,"חתן")</f>
        <v>0</v>
      </c>
    </row>
    <row r="10" spans="1:6" ht="15" customHeight="1" x14ac:dyDescent="0.2">
      <c r="A10" s="4" t="s">
        <v>3</v>
      </c>
      <c r="B10" s="4" t="s">
        <v>56</v>
      </c>
      <c r="C10" s="4">
        <f>COUNTIF('רשימת אורחים'!D3:D103,"כלה")</f>
        <v>0</v>
      </c>
    </row>
    <row r="11" spans="1:6" ht="15" customHeight="1" x14ac:dyDescent="0.2">
      <c r="A11" s="4" t="s">
        <v>3</v>
      </c>
      <c r="B11" s="4" t="s">
        <v>49</v>
      </c>
      <c r="C11" s="4">
        <f>COUNTIF('רשימת אורחים'!D3:D103,"משותף")</f>
        <v>0</v>
      </c>
    </row>
    <row r="12" spans="1:6" ht="15" customHeight="1" x14ac:dyDescent="0.2">
      <c r="A12" s="2" t="s">
        <v>4</v>
      </c>
      <c r="B12" s="2" t="s">
        <v>18</v>
      </c>
      <c r="C12" s="2">
        <f>COUNTIF('רשימת אורחים'!E3:E103,"משפחה חתן")+COUNTIF('רשימת אורחים'!E3:E103,"משפחה כלה")</f>
        <v>0</v>
      </c>
    </row>
    <row r="13" spans="1:6" ht="15" customHeight="1" x14ac:dyDescent="0.2">
      <c r="A13" s="2" t="s">
        <v>4</v>
      </c>
      <c r="B13" s="2" t="s">
        <v>19</v>
      </c>
      <c r="C13" s="2">
        <f>COUNTIF('רשימת אורחים'!E3:E103,"חברים חתן")+COUNTIF('רשימת אורחים'!E3:E103,"חברים כלה")</f>
        <v>0</v>
      </c>
    </row>
    <row r="14" spans="1:6" ht="15" customHeight="1" x14ac:dyDescent="0.2">
      <c r="A14" s="2" t="s">
        <v>4</v>
      </c>
      <c r="B14" s="2" t="s">
        <v>20</v>
      </c>
      <c r="C14" s="2">
        <f>COUNTIF('רשימת אורחים'!E3:E103,"עבודה")</f>
        <v>0</v>
      </c>
    </row>
    <row r="15" spans="1:6" ht="15" customHeight="1" x14ac:dyDescent="0.2">
      <c r="A15" s="4" t="s">
        <v>32</v>
      </c>
      <c r="B15" s="4" t="s">
        <v>11</v>
      </c>
      <c r="C15" s="4">
        <f>COUNTIF('רשימת אורחים'!L3:L103,"כן")</f>
        <v>0</v>
      </c>
    </row>
    <row r="16" spans="1:6" ht="15" customHeight="1" x14ac:dyDescent="0.2">
      <c r="A16" s="4" t="s">
        <v>32</v>
      </c>
      <c r="B16" s="4" t="s">
        <v>33</v>
      </c>
      <c r="C16" s="4">
        <f>COUNTIF('רשימת אורחים'!L3:L103,"לא")</f>
        <v>0</v>
      </c>
    </row>
    <row r="17" spans="1:3" ht="15" customHeight="1" x14ac:dyDescent="0.2">
      <c r="A17" s="2" t="s">
        <v>34</v>
      </c>
      <c r="B17" s="2" t="s">
        <v>16</v>
      </c>
      <c r="C17" s="2">
        <f>COUNTIF('רשימת אורחים'!Q3:Q103,"כן")</f>
        <v>0</v>
      </c>
    </row>
    <row r="18" spans="1:3" ht="15" customHeight="1" x14ac:dyDescent="0.2">
      <c r="A18" s="2" t="s">
        <v>34</v>
      </c>
      <c r="B18" s="2" t="s">
        <v>35</v>
      </c>
      <c r="C18" s="2">
        <f>COUNTIF('רשימת אורחים'!Q3:Q103,"לא")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rightToLeft="1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customHeight="1" x14ac:dyDescent="0.2"/>
  <cols>
    <col min="1" max="1" width="5" customWidth="1"/>
    <col min="2" max="2" width="15" customWidth="1"/>
    <col min="3" max="3" width="16" customWidth="1"/>
    <col min="4" max="4" width="12" customWidth="1"/>
    <col min="5" max="5" width="16" customWidth="1"/>
    <col min="6" max="6" width="14" customWidth="1"/>
    <col min="7" max="8" width="12" customWidth="1"/>
    <col min="9" max="9" width="24" customWidth="1"/>
    <col min="10" max="10" width="14" customWidth="1"/>
    <col min="11" max="11" width="24" customWidth="1"/>
  </cols>
  <sheetData>
    <row r="1" spans="1:12" ht="31.5" customHeight="1" x14ac:dyDescent="0.2">
      <c r="A1" s="7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6</v>
      </c>
      <c r="G2" s="9" t="s">
        <v>7</v>
      </c>
      <c r="H2" s="9" t="s">
        <v>36</v>
      </c>
      <c r="I2" s="9" t="s">
        <v>37</v>
      </c>
      <c r="J2" s="9" t="s">
        <v>38</v>
      </c>
      <c r="K2" s="9" t="s">
        <v>17</v>
      </c>
    </row>
    <row r="18" spans="1:11" ht="1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3092C67-91B4-A54B-AF25-9553A931ECB9}">
          <x14:formula1>
            <xm:f>הגדרות!$A$2:$A$4</xm:f>
          </x14:formula1>
          <xm:sqref>D3:D502</xm:sqref>
        </x14:dataValidation>
        <x14:dataValidation type="list" allowBlank="1" showInputMessage="1" showErrorMessage="1" xr:uid="{971EF259-9380-3F4C-870B-CE105AA5ABBB}">
          <x14:formula1>
            <xm:f>הגדרות!$B$2:$B$9</xm:f>
          </x14:formula1>
          <xm:sqref>E3:E502</xm:sqref>
        </x14:dataValidation>
        <x14:dataValidation type="list" allowBlank="1" showInputMessage="1" showErrorMessage="1" xr:uid="{B576E967-2C23-1D47-9168-61ECE21CFE7D}">
          <x14:formula1>
            <xm:f>הגדרות!$E$2:$E$4</xm:f>
          </x14:formula1>
          <xm:sqref>H3:H502</xm:sqref>
        </x14:dataValidation>
        <x14:dataValidation type="list" allowBlank="1" showInputMessage="1" showErrorMessage="1" xr:uid="{C646C820-F83D-DA41-BB45-EEAF3D584D9E}">
          <x14:formula1>
            <xm:f>הגדרות!$F$2:$F$4</xm:f>
          </x14:formula1>
          <xm:sqref>J3:J502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21B-3F46-7744-803E-831AEEA400D7}">
  <dimension ref="A1:F9"/>
  <sheetViews>
    <sheetView workbookViewId="0"/>
  </sheetViews>
  <sheetFormatPr baseColWidth="10" defaultRowHeight="15" x14ac:dyDescent="0.2"/>
  <sheetData>
    <row r="1" spans="1:6" x14ac:dyDescent="0.2">
      <c r="A1" s="11" t="s">
        <v>3</v>
      </c>
      <c r="B1" s="11" t="s">
        <v>4</v>
      </c>
      <c r="C1" s="11" t="s">
        <v>9</v>
      </c>
      <c r="D1" s="11" t="s">
        <v>62</v>
      </c>
      <c r="E1" s="11" t="s">
        <v>36</v>
      </c>
      <c r="F1" s="11" t="s">
        <v>63</v>
      </c>
    </row>
    <row r="2" spans="1:6" x14ac:dyDescent="0.2">
      <c r="A2" t="s">
        <v>41</v>
      </c>
      <c r="B2" t="s">
        <v>47</v>
      </c>
      <c r="C2" t="s">
        <v>43</v>
      </c>
      <c r="D2" t="s">
        <v>64</v>
      </c>
      <c r="E2" t="s">
        <v>54</v>
      </c>
      <c r="F2" t="s">
        <v>43</v>
      </c>
    </row>
    <row r="3" spans="1:6" x14ac:dyDescent="0.2">
      <c r="A3" t="s">
        <v>44</v>
      </c>
      <c r="B3" t="s">
        <v>45</v>
      </c>
      <c r="C3" t="s">
        <v>58</v>
      </c>
      <c r="D3" t="s">
        <v>65</v>
      </c>
      <c r="E3" t="s">
        <v>53</v>
      </c>
      <c r="F3" t="s">
        <v>60</v>
      </c>
    </row>
    <row r="4" spans="1:6" x14ac:dyDescent="0.2">
      <c r="A4" t="s">
        <v>49</v>
      </c>
      <c r="B4" t="s">
        <v>42</v>
      </c>
      <c r="C4" t="s">
        <v>29</v>
      </c>
      <c r="E4" t="s">
        <v>52</v>
      </c>
      <c r="F4" t="s">
        <v>61</v>
      </c>
    </row>
    <row r="5" spans="1:6" x14ac:dyDescent="0.2">
      <c r="B5" t="s">
        <v>46</v>
      </c>
      <c r="C5" t="s">
        <v>59</v>
      </c>
    </row>
    <row r="6" spans="1:6" x14ac:dyDescent="0.2">
      <c r="B6" t="s">
        <v>20</v>
      </c>
    </row>
    <row r="7" spans="1:6" x14ac:dyDescent="0.2">
      <c r="B7" t="s">
        <v>48</v>
      </c>
    </row>
    <row r="8" spans="1:6" x14ac:dyDescent="0.2">
      <c r="B8" t="s">
        <v>50</v>
      </c>
    </row>
    <row r="9" spans="1:6" x14ac:dyDescent="0.2">
      <c r="B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רשימת אורחים</vt:lpstr>
      <vt:lpstr>סיכום</vt:lpstr>
      <vt:lpstr>B-List</vt:lpstr>
      <vt:lpstr>הגדרות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avishai iter</cp:lastModifiedBy>
  <cp:revision>0</cp:revision>
  <dcterms:created xsi:type="dcterms:W3CDTF">2026-02-28T12:04:09Z</dcterms:created>
  <dcterms:modified xsi:type="dcterms:W3CDTF">2026-03-10T16:53:53Z</dcterms:modified>
  <dc:language>en-US</dc:language>
</cp:coreProperties>
</file>